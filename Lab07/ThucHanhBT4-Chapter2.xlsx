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filterPrivacy="1" defaultThemeVersion="124226"/>
  <xr:revisionPtr revIDLastSave="0" documentId="13_ncr:1_{8F3EABAE-6CA3-48F9-A5D4-0A13A6A3E3F8}" xr6:coauthVersionLast="47" xr6:coauthVersionMax="47" xr10:uidLastSave="{00000000-0000-0000-0000-000000000000}"/>
  <bookViews>
    <workbookView xWindow="28830" yWindow="30" windowWidth="28770" windowHeight="16170" xr2:uid="{00000000-000D-0000-FFFF-FFFF00000000}"/>
  </bookViews>
  <sheets>
    <sheet name="Chapter2_Assignment" sheetId="2"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33" i="2" l="1" a="1"/>
  <c r="C33" i="2" s="1"/>
  <c r="C34" i="2" a="1"/>
  <c r="C34" i="2"/>
  <c r="C35" i="2" a="1"/>
  <c r="C35" i="2" s="1"/>
  <c r="C36" i="2" a="1"/>
  <c r="C36" i="2" s="1"/>
  <c r="C37" i="2" a="1"/>
  <c r="C37" i="2" s="1"/>
  <c r="C38" i="2" a="1"/>
  <c r="C38" i="2"/>
  <c r="C39" i="2" a="1"/>
  <c r="C39" i="2" s="1"/>
  <c r="C40" i="2" a="1"/>
  <c r="C40" i="2"/>
  <c r="C41" i="2" a="1"/>
  <c r="C41" i="2" s="1"/>
  <c r="C32" i="2" a="1"/>
  <c r="C32" i="2"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<sst xmlns="http://schemas.openxmlformats.org/spreadsheetml/2006/main" count="22" uniqueCount="13">
  <si>
    <t>Year</t>
  </si>
  <si>
    <t>Num high school graduates</t>
  </si>
  <si>
    <t>USA Economics</t>
  </si>
  <si>
    <t>comparable tuition fee</t>
  </si>
  <si>
    <t xml:space="preserve">financial scholarship </t>
  </si>
  <si>
    <t>financial aid available</t>
  </si>
  <si>
    <t>number of open house visitors</t>
  </si>
  <si>
    <t>media advertisement investment</t>
  </si>
  <si>
    <t>admission activities</t>
  </si>
  <si>
    <t>SAT cutoff</t>
  </si>
  <si>
    <t>Number of First Year Enrollment</t>
  </si>
  <si>
    <t>NEW YEAR</t>
  </si>
  <si>
    <t>Y-intercept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</si>
</sst>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1"/>
      <color rgb="FFFF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eetMetadata" Target="metadata.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0</xdr:col>
      <xdr:colOff>180975</xdr:colOff>
      <xdr:row>1</xdr:row>
      <xdr:rowOff>66675</xdr:rowOff>
    </xdr:from>
    <xdr:to>
      <xdr:col>9</xdr:col>
      <xdr:colOff>333376</xdr:colOff>
      <xdr:row>14</xdr:row>
      <xdr:rowOff>158751</xdr:rowOff>
    </xdr:to>
    <xdr:sp macro="" textlink="">
      <xdr:nvSpPr>
        <xdr:cNvPr id="4" name="TextBox 3">
          <a:extLst>
            <a:ext uri="{FF2B5EF4-FFF2-40B4-BE49-F238E27FC236}">
              <a16:creationId xmlns:a16="http://schemas.microsoft.com/office/drawing/2014/main" id="{00000000-0008-0000-0000-000004000000}"/>
            </a:ext>
          </a:extLst>
        </xdr:cNvPr>
        <xdr:cNvSpPr txBox="1"/>
      </xdr:nvSpPr>
      <xdr:spPr>
        <a:xfrm>
          <a:off x="180975" y="247650"/>
          <a:ext cx="9401176" cy="244475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tabLst/>
            <a:defRPr/>
          </a:pPr>
          <a:r>
            <a:rPr lang="en-US" sz="1100" b="0" i="0" baseline="0">
              <a:solidFill>
                <a:schemeClr val="dk1"/>
              </a:solidFill>
              <a:effectLst/>
              <a:latin typeface="+mn-lt"/>
              <a:ea typeface="+mn-ea"/>
              <a:cs typeface="+mn-cs"/>
            </a:rPr>
            <a:t>The following is </a:t>
          </a:r>
          <a:r>
            <a:rPr lang="en-US" sz="1100" b="0" i="0" baseline="0">
              <a:solidFill>
                <a:srgbClr val="FF0000"/>
              </a:solidFill>
              <a:effectLst/>
              <a:latin typeface="+mn-lt"/>
              <a:ea typeface="+mn-ea"/>
              <a:cs typeface="+mn-cs"/>
            </a:rPr>
            <a:t>faked</a:t>
          </a:r>
          <a:r>
            <a:rPr lang="en-US" sz="1100" b="0" i="0" baseline="0">
              <a:solidFill>
                <a:schemeClr val="dk1"/>
              </a:solidFill>
              <a:effectLst/>
              <a:latin typeface="+mn-lt"/>
              <a:ea typeface="+mn-ea"/>
              <a:cs typeface="+mn-cs"/>
            </a:rPr>
            <a:t> data about a Connecticut university's ungraduate enrollment in the past 10 years.  </a:t>
          </a:r>
        </a:p>
        <a:p>
          <a:pPr marL="0" marR="0" lvl="0" indent="0" defTabSz="914400" rtl="0" eaLnBrk="1" fontAlgn="auto" latinLnBrk="0" hangingPunct="1">
            <a:lnSpc>
              <a:spcPct val="100000"/>
            </a:lnSpc>
            <a:spcBef>
              <a:spcPts val="0"/>
            </a:spcBef>
            <a:spcAft>
              <a:spcPts val="0"/>
            </a:spcAft>
            <a:buClrTx/>
            <a:buSzTx/>
            <a:buFontTx/>
            <a:buNone/>
            <a:tabLst/>
            <a:defRPr/>
          </a:pPr>
          <a:endParaRPr lang="en-US" sz="1100" b="0" i="0" baseline="0">
            <a:solidFill>
              <a:schemeClr val="dk1"/>
            </a:solidFill>
            <a:effectLst/>
            <a:latin typeface="+mn-lt"/>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r>
            <a:rPr lang="en-US" sz="1100" b="0" i="0" baseline="0">
              <a:solidFill>
                <a:schemeClr val="dk1"/>
              </a:solidFill>
              <a:effectLst/>
              <a:latin typeface="+mn-lt"/>
              <a:ea typeface="+mn-ea"/>
              <a:cs typeface="+mn-cs"/>
            </a:rPr>
            <a:t>1.understand the organization: what factors would affect the enrollment? Number of CT high school graduates, USA economics (job rate, growth rate), tuition fee comparable to universities around, scholarship available, finacial aid available, number of open house visitors,  TV or radio advertisement investment, number of admission activities in high schools, SAT cutoff, etc. There might be more factors, and some of them may not have any impact. Students are strongly encouraged to add more factors you think would matter. </a:t>
          </a:r>
        </a:p>
        <a:p>
          <a:pPr marL="0" marR="0" lvl="0" indent="0" defTabSz="914400" rtl="0" eaLnBrk="1" fontAlgn="auto" latinLnBrk="0" hangingPunct="1">
            <a:lnSpc>
              <a:spcPct val="100000"/>
            </a:lnSpc>
            <a:spcBef>
              <a:spcPts val="0"/>
            </a:spcBef>
            <a:spcAft>
              <a:spcPts val="0"/>
            </a:spcAft>
            <a:buClrTx/>
            <a:buSzTx/>
            <a:buFontTx/>
            <a:buNone/>
            <a:tabLst/>
            <a:defRPr/>
          </a:pPr>
          <a:endParaRPr lang="en-US" sz="1100" b="0" i="0" baseline="0">
            <a:solidFill>
              <a:schemeClr val="dk1"/>
            </a:solidFill>
            <a:effectLst/>
            <a:latin typeface="+mn-lt"/>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r>
            <a:rPr lang="en-US" sz="1100" b="0" i="0" baseline="0">
              <a:solidFill>
                <a:schemeClr val="dk1"/>
              </a:solidFill>
              <a:effectLst/>
              <a:latin typeface="+mn-lt"/>
              <a:ea typeface="+mn-ea"/>
              <a:cs typeface="+mn-cs"/>
            </a:rPr>
            <a:t>2. What we want to do is to based on the existing 10 years' data and then predict next year's  First Year enrollment.  </a:t>
          </a:r>
        </a:p>
        <a:p>
          <a:pPr marL="0" marR="0" lvl="0" indent="0" defTabSz="914400" rtl="0" eaLnBrk="1" fontAlgn="auto" latinLnBrk="0" hangingPunct="1">
            <a:lnSpc>
              <a:spcPct val="100000"/>
            </a:lnSpc>
            <a:spcBef>
              <a:spcPts val="0"/>
            </a:spcBef>
            <a:spcAft>
              <a:spcPts val="0"/>
            </a:spcAft>
            <a:buClrTx/>
            <a:buSzTx/>
            <a:buFontTx/>
            <a:buNone/>
            <a:tabLst/>
            <a:defRPr/>
          </a:pPr>
          <a:endParaRPr lang="en-US" sz="1100" b="0" i="0" baseline="0">
            <a:solidFill>
              <a:schemeClr val="dk1"/>
            </a:solidFill>
            <a:effectLst/>
            <a:latin typeface="+mn-lt"/>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r>
            <a:rPr lang="en-US" sz="1100" b="0" i="0" baseline="0">
              <a:solidFill>
                <a:schemeClr val="dk1"/>
              </a:solidFill>
              <a:effectLst/>
              <a:latin typeface="+mn-lt"/>
              <a:ea typeface="+mn-ea"/>
              <a:cs typeface="+mn-cs"/>
            </a:rPr>
            <a:t>In addition, please feel free to change the values.  They are just faked data.</a:t>
          </a:r>
        </a:p>
        <a:p>
          <a:pPr marL="0" marR="0" lvl="0" indent="0" defTabSz="914400" rtl="0" eaLnBrk="1" fontAlgn="auto" latinLnBrk="0" hangingPunct="1">
            <a:lnSpc>
              <a:spcPct val="100000"/>
            </a:lnSpc>
            <a:spcBef>
              <a:spcPts val="0"/>
            </a:spcBef>
            <a:spcAft>
              <a:spcPts val="0"/>
            </a:spcAft>
            <a:buClrTx/>
            <a:buSzTx/>
            <a:buFontTx/>
            <a:buNone/>
            <a:tabLst/>
            <a:defRPr/>
          </a:pPr>
          <a:endParaRPr lang="en-US" sz="1100" b="0" i="0" baseline="0">
            <a:solidFill>
              <a:schemeClr val="dk1"/>
            </a:solidFill>
            <a:effectLst/>
            <a:latin typeface="+mn-lt"/>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r>
            <a:rPr lang="en-US" sz="1100" b="0" i="0" baseline="0">
              <a:solidFill>
                <a:srgbClr val="FF0000"/>
              </a:solidFill>
              <a:effectLst/>
              <a:latin typeface="+mn-lt"/>
              <a:ea typeface="+mn-ea"/>
              <a:cs typeface="+mn-cs"/>
            </a:rPr>
            <a:t>Note, the LINEST function returns the coefficient array in the order of SAT cutoff, </a:t>
          </a:r>
          <a:r>
            <a:rPr lang="en-US" sz="1100" b="0" i="0" u="none" strike="noStrike">
              <a:solidFill>
                <a:srgbClr val="FF0000"/>
              </a:solidFill>
              <a:effectLst/>
              <a:latin typeface="+mn-lt"/>
              <a:ea typeface="+mn-ea"/>
              <a:cs typeface="+mn-cs"/>
            </a:rPr>
            <a:t>admission activities,</a:t>
          </a:r>
          <a:r>
            <a:rPr lang="en-US" sz="1100" b="0" i="0" u="none" strike="noStrike" baseline="0">
              <a:solidFill>
                <a:srgbClr val="FF0000"/>
              </a:solidFill>
              <a:effectLst/>
              <a:latin typeface="+mn-lt"/>
              <a:ea typeface="+mn-ea"/>
              <a:cs typeface="+mn-cs"/>
            </a:rPr>
            <a:t> </a:t>
          </a:r>
          <a:r>
            <a:rPr lang="en-US" sz="1100" b="0" i="0" u="none" strike="noStrike">
              <a:solidFill>
                <a:srgbClr val="FF0000"/>
              </a:solidFill>
              <a:effectLst/>
              <a:latin typeface="+mn-lt"/>
              <a:ea typeface="+mn-ea"/>
              <a:cs typeface="+mn-cs"/>
            </a:rPr>
            <a:t>media advertisement investment,</a:t>
          </a:r>
          <a:r>
            <a:rPr lang="en-US" sz="1100" b="0" i="0" u="none" strike="noStrike" baseline="0">
              <a:solidFill>
                <a:srgbClr val="FF0000"/>
              </a:solidFill>
              <a:effectLst/>
              <a:latin typeface="+mn-lt"/>
              <a:ea typeface="+mn-ea"/>
              <a:cs typeface="+mn-cs"/>
            </a:rPr>
            <a:t> number of open house visitors, financial aid available, financial scholarship, comparable tuition fee, USA Economics, Num high school graduates, and the intercept b.</a:t>
          </a:r>
          <a:endParaRPr lang="en-US" sz="1100" b="0" i="0" baseline="0">
            <a:solidFill>
              <a:srgbClr val="FF0000"/>
            </a:solidFill>
            <a:effectLst/>
            <a:latin typeface="+mn-lt"/>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endParaRPr lang="en-US">
            <a:effectLst/>
          </a:endParaRPr>
        </a:p>
        <a:p>
          <a:endParaRPr lang="en-US" sz="1100"/>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2:K41"/>
  <sheetViews>
    <sheetView tabSelected="1" topLeftCell="A16" workbookViewId="0">
      <selection activeCell="C32" sqref="C32"/>
    </sheetView>
  </sheetViews>
  <sheetFormatPr defaultRowHeight="14.5" x14ac:dyDescent="0.35"/>
  <cols>
    <col min="1" max="1" width="33.1796875" customWidth="1"/>
    <col min="2" max="2" width="23.54296875" bestFit="1" customWidth="1"/>
    <col min="3" max="3" width="15.1796875" customWidth="1"/>
    <col min="4" max="4" width="34.90625" customWidth="1"/>
    <col min="5" max="5" width="26.90625" customWidth="1"/>
    <col min="6" max="6" width="26.6328125" customWidth="1"/>
    <col min="7" max="7" width="31.1796875" customWidth="1"/>
    <col min="8" max="8" width="32" customWidth="1"/>
    <col min="9" max="9" width="23.7265625" customWidth="1"/>
    <col min="10" max="10" width="19" customWidth="1"/>
    <col min="11" max="11" width="30.26953125" customWidth="1"/>
    <col min="12" max="12" width="14.08984375" customWidth="1"/>
    <col min="24" max="24" width="30.1796875" bestFit="1" customWidth="1"/>
  </cols>
  <sheetData>
    <row r="12" spans="1:11" x14ac:dyDescent="0.35">
      <c r="A12" s="1"/>
      <c r="B12" s="1"/>
      <c r="C12" s="1"/>
      <c r="D12" s="1"/>
      <c r="E12" s="1"/>
      <c r="F12" s="1"/>
      <c r="G12" s="1"/>
      <c r="H12" s="1"/>
      <c r="I12" s="1"/>
      <c r="J12" s="1"/>
      <c r="K12" s="1"/>
    </row>
    <row r="18" spans="1:11" x14ac:dyDescent="0.35">
      <c r="A18" t="s">
        <v>0</v>
      </c>
      <c r="B18" t="s">
        <v>1</v>
      </c>
      <c r="C18" t="s">
        <v>2</v>
      </c>
      <c r="D18" t="s">
        <v>3</v>
      </c>
      <c r="E18" t="s">
        <v>4</v>
      </c>
      <c r="F18" t="s">
        <v>5</v>
      </c>
      <c r="G18" t="s">
        <v>6</v>
      </c>
      <c r="H18" t="s">
        <v>7</v>
      </c>
      <c r="I18" t="s">
        <v>8</v>
      </c>
      <c r="J18" t="s">
        <v>9</v>
      </c>
      <c r="K18" t="s">
        <v>10</v>
      </c>
    </row>
    <row r="19" spans="1:11" x14ac:dyDescent="0.35">
      <c r="A19">
        <v>2004</v>
      </c>
      <c r="B19">
        <v>25000</v>
      </c>
      <c r="C19">
        <v>3</v>
      </c>
      <c r="D19">
        <v>2</v>
      </c>
      <c r="E19">
        <v>3</v>
      </c>
      <c r="F19">
        <v>1</v>
      </c>
      <c r="G19">
        <v>1100</v>
      </c>
      <c r="H19">
        <v>13400</v>
      </c>
      <c r="I19">
        <v>20</v>
      </c>
      <c r="J19">
        <v>1000</v>
      </c>
      <c r="K19">
        <v>200</v>
      </c>
    </row>
    <row r="20" spans="1:11" x14ac:dyDescent="0.35">
      <c r="A20">
        <v>2005</v>
      </c>
      <c r="B20">
        <v>25600</v>
      </c>
      <c r="C20">
        <v>3</v>
      </c>
      <c r="D20">
        <v>2</v>
      </c>
      <c r="E20">
        <v>1</v>
      </c>
      <c r="F20">
        <v>2</v>
      </c>
      <c r="G20">
        <v>1005</v>
      </c>
      <c r="H20">
        <v>12900</v>
      </c>
      <c r="I20">
        <v>15</v>
      </c>
      <c r="J20">
        <v>980</v>
      </c>
      <c r="K20">
        <v>202</v>
      </c>
    </row>
    <row r="21" spans="1:11" x14ac:dyDescent="0.35">
      <c r="A21">
        <v>2006</v>
      </c>
      <c r="B21">
        <v>24367</v>
      </c>
      <c r="C21">
        <v>3</v>
      </c>
      <c r="D21">
        <v>3</v>
      </c>
      <c r="E21">
        <v>2</v>
      </c>
      <c r="F21">
        <v>3</v>
      </c>
      <c r="G21">
        <v>900</v>
      </c>
      <c r="H21">
        <v>8000</v>
      </c>
      <c r="I21">
        <v>8</v>
      </c>
      <c r="J21">
        <v>950</v>
      </c>
      <c r="K21">
        <v>188</v>
      </c>
    </row>
    <row r="22" spans="1:11" x14ac:dyDescent="0.35">
      <c r="A22">
        <v>2007</v>
      </c>
      <c r="B22">
        <v>25500</v>
      </c>
      <c r="C22">
        <v>3</v>
      </c>
      <c r="D22">
        <v>2</v>
      </c>
      <c r="E22">
        <v>2</v>
      </c>
      <c r="F22">
        <v>3</v>
      </c>
      <c r="G22">
        <v>980</v>
      </c>
      <c r="H22">
        <v>8000</v>
      </c>
      <c r="I22">
        <v>11</v>
      </c>
      <c r="J22">
        <v>1020</v>
      </c>
      <c r="K22">
        <v>209</v>
      </c>
    </row>
    <row r="23" spans="1:11" x14ac:dyDescent="0.35">
      <c r="A23">
        <v>2008</v>
      </c>
      <c r="B23">
        <v>28321</v>
      </c>
      <c r="C23">
        <v>2</v>
      </c>
      <c r="D23">
        <v>3</v>
      </c>
      <c r="E23">
        <v>3</v>
      </c>
      <c r="F23">
        <v>1</v>
      </c>
      <c r="G23">
        <v>1212</v>
      </c>
      <c r="H23">
        <v>7500</v>
      </c>
      <c r="I23">
        <v>18</v>
      </c>
      <c r="J23">
        <v>1000</v>
      </c>
      <c r="K23">
        <v>232</v>
      </c>
    </row>
    <row r="24" spans="1:11" x14ac:dyDescent="0.35">
      <c r="A24">
        <v>2009</v>
      </c>
      <c r="B24">
        <v>28759</v>
      </c>
      <c r="C24">
        <v>1</v>
      </c>
      <c r="D24">
        <v>1</v>
      </c>
      <c r="E24">
        <v>3</v>
      </c>
      <c r="F24">
        <v>3</v>
      </c>
      <c r="G24">
        <v>1220</v>
      </c>
      <c r="H24">
        <v>10000</v>
      </c>
      <c r="I24">
        <v>19</v>
      </c>
      <c r="J24">
        <v>1010</v>
      </c>
      <c r="K24">
        <v>220</v>
      </c>
    </row>
    <row r="25" spans="1:11" x14ac:dyDescent="0.35">
      <c r="A25">
        <v>2010</v>
      </c>
      <c r="B25">
        <v>25431</v>
      </c>
      <c r="C25">
        <v>1</v>
      </c>
      <c r="D25">
        <v>1</v>
      </c>
      <c r="E25">
        <v>1</v>
      </c>
      <c r="F25">
        <v>1</v>
      </c>
      <c r="G25">
        <v>987</v>
      </c>
      <c r="H25">
        <v>8000</v>
      </c>
      <c r="I25">
        <v>10</v>
      </c>
      <c r="J25">
        <v>950</v>
      </c>
      <c r="K25">
        <v>188</v>
      </c>
    </row>
    <row r="26" spans="1:11" x14ac:dyDescent="0.35">
      <c r="A26">
        <v>2011</v>
      </c>
      <c r="B26">
        <v>24678</v>
      </c>
      <c r="C26">
        <v>1</v>
      </c>
      <c r="D26">
        <v>1</v>
      </c>
      <c r="E26">
        <v>1</v>
      </c>
      <c r="F26">
        <v>2</v>
      </c>
      <c r="G26">
        <v>899</v>
      </c>
      <c r="H26">
        <v>7500</v>
      </c>
      <c r="I26">
        <v>8</v>
      </c>
      <c r="J26">
        <v>1000</v>
      </c>
      <c r="K26">
        <v>179</v>
      </c>
    </row>
    <row r="27" spans="1:11" x14ac:dyDescent="0.35">
      <c r="A27">
        <v>2012</v>
      </c>
      <c r="B27">
        <v>24987</v>
      </c>
      <c r="C27">
        <v>2</v>
      </c>
      <c r="D27">
        <v>2</v>
      </c>
      <c r="E27">
        <v>2</v>
      </c>
      <c r="F27">
        <v>3</v>
      </c>
      <c r="G27">
        <v>1488</v>
      </c>
      <c r="H27">
        <v>11000</v>
      </c>
      <c r="I27">
        <v>7</v>
      </c>
      <c r="J27">
        <v>1000</v>
      </c>
      <c r="K27">
        <v>190</v>
      </c>
    </row>
    <row r="28" spans="1:11" x14ac:dyDescent="0.35">
      <c r="A28">
        <v>2013</v>
      </c>
      <c r="B28">
        <v>25100</v>
      </c>
      <c r="C28">
        <v>2</v>
      </c>
      <c r="D28">
        <v>3</v>
      </c>
      <c r="E28">
        <v>2</v>
      </c>
      <c r="F28">
        <v>3</v>
      </c>
      <c r="G28">
        <v>900</v>
      </c>
      <c r="H28">
        <v>11000</v>
      </c>
      <c r="I28">
        <v>10</v>
      </c>
      <c r="J28">
        <v>1000</v>
      </c>
      <c r="K28">
        <v>175</v>
      </c>
    </row>
    <row r="29" spans="1:11" x14ac:dyDescent="0.35">
      <c r="A29" s="1" t="s">
        <v>11</v>
      </c>
      <c r="B29" s="1">
        <v>25500</v>
      </c>
      <c r="C29" s="1">
        <v>3</v>
      </c>
      <c r="D29" s="1">
        <v>3</v>
      </c>
      <c r="E29" s="1">
        <v>2</v>
      </c>
      <c r="F29" s="1">
        <v>2</v>
      </c>
      <c r="G29" s="1">
        <v>1130</v>
      </c>
      <c r="H29" s="1">
        <v>9000</v>
      </c>
      <c r="I29" s="1">
        <v>20</v>
      </c>
      <c r="J29" s="1">
        <v>1000</v>
      </c>
      <c r="K29" s="1">
        <v>220</v>
      </c>
    </row>
    <row r="32" spans="1:11" x14ac:dyDescent="0.35">
      <c r="A32" t="s">
        <v>1</v>
      </c>
      <c r="B32">
        <v>1</v>
      </c>
      <c r="C32" cm="1">
        <f t="array" ref="C32">INDEX(LINEST($K$19:$K$28, $B$19:$J$28, TRUE, TRUE), 1, B32)</f>
        <v>3.3161250293402882E-2</v>
      </c>
    </row>
    <row r="33" spans="1:3" x14ac:dyDescent="0.35">
      <c r="A33" t="s">
        <v>2</v>
      </c>
      <c r="B33">
        <v>2</v>
      </c>
      <c r="C33" cm="1">
        <f t="array" ref="C33">INDEX(LINEST($K$19:$K$28, $B$19:$J$28, TRUE, TRUE), 1, B33)</f>
        <v>1.3949470436736482</v>
      </c>
    </row>
    <row r="34" spans="1:3" x14ac:dyDescent="0.35">
      <c r="A34" t="s">
        <v>3</v>
      </c>
      <c r="B34">
        <v>3</v>
      </c>
      <c r="C34" cm="1">
        <f t="array" ref="C34">INDEX(LINEST($K$19:$K$28, $B$19:$J$28, TRUE, TRUE), 1, B34)</f>
        <v>-3.5200578571288493E-3</v>
      </c>
    </row>
    <row r="35" spans="1:3" x14ac:dyDescent="0.35">
      <c r="A35" t="s">
        <v>4</v>
      </c>
      <c r="B35">
        <v>4</v>
      </c>
      <c r="C35" cm="1">
        <f t="array" ref="C35">INDEX(LINEST($K$19:$K$28, $B$19:$J$28, TRUE, TRUE), 1, B35)</f>
        <v>2.8911713838573206E-2</v>
      </c>
    </row>
    <row r="36" spans="1:3" x14ac:dyDescent="0.35">
      <c r="A36" t="s">
        <v>5</v>
      </c>
      <c r="B36">
        <v>5</v>
      </c>
      <c r="C36" cm="1">
        <f t="array" ref="C36">INDEX(LINEST($K$19:$K$28, $B$19:$J$28, TRUE, TRUE), 1, B36)</f>
        <v>-1.0429358975602736</v>
      </c>
    </row>
    <row r="37" spans="1:3" x14ac:dyDescent="0.35">
      <c r="A37" t="s">
        <v>6</v>
      </c>
      <c r="B37">
        <v>6</v>
      </c>
      <c r="C37" cm="1">
        <f t="array" ref="C37">INDEX(LINEST($K$19:$K$28, $B$19:$J$28, TRUE, TRUE), 1, B37)</f>
        <v>-3.4269548881982765</v>
      </c>
    </row>
    <row r="38" spans="1:3" x14ac:dyDescent="0.35">
      <c r="A38" t="s">
        <v>7</v>
      </c>
      <c r="B38">
        <v>7</v>
      </c>
      <c r="C38" cm="1">
        <f t="array" ref="C38">INDEX(LINEST($K$19:$K$28, $B$19:$J$28, TRUE, TRUE), 1, B38)</f>
        <v>-3.0913091208724119</v>
      </c>
    </row>
    <row r="39" spans="1:3" x14ac:dyDescent="0.35">
      <c r="A39" t="s">
        <v>8</v>
      </c>
      <c r="B39">
        <v>8</v>
      </c>
      <c r="C39" cm="1">
        <f t="array" ref="C39">INDEX(LINEST($K$19:$K$28, $B$19:$J$28, TRUE, TRUE), 1, B39)</f>
        <v>12.768361330113445</v>
      </c>
    </row>
    <row r="40" spans="1:3" x14ac:dyDescent="0.35">
      <c r="A40" t="s">
        <v>9</v>
      </c>
      <c r="B40">
        <v>9</v>
      </c>
      <c r="C40" cm="1">
        <f t="array" ref="C40">INDEX(LINEST($K$19:$K$28, $B$19:$J$28, TRUE, TRUE), 1, B40)</f>
        <v>8.022617052500073E-3</v>
      </c>
    </row>
    <row r="41" spans="1:3" x14ac:dyDescent="0.35">
      <c r="A41" t="s">
        <v>12</v>
      </c>
      <c r="B41">
        <v>10</v>
      </c>
      <c r="C41" cm="1">
        <f t="array" ref="C41">INDEX(LINEST($K$19:$K$28, $B$19:$J$28, TRUE, TRUE), 1, B41)</f>
        <v>-67.058392602722009</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Chapter2_Assignment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2025-11-24T16:07:30Z</dcterms:modified>
</cp:coreProperties>
</file>